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<sst xmlns="http://schemas.openxmlformats.org/spreadsheetml/2006/main" count="24" uniqueCount="13">
  <si>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单个</t>
  </si>
  <si>
    <t>数量</t>
  </si>
  <si>
    <t>空调</t>
  </si>
  <si>
    <t>消防</t>
  </si>
  <si>
    <t>电表</t>
  </si>
  <si>
    <t>光伏</t>
  </si>
  <si>
    <t>柴发</t>
  </si>
  <si>
    <t>冷水机</t>
  </si>
  <si>
    <t>除湿器</t>
  </si>
  <si>
    <t>PCS</t>
  </si>
  <si>
    <t>BMS</t>
  </si>
  <si>
    <t>BMU</t>
  </si>
  <si>
    <t>ECU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</si>
</sst>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zoomScale="130" zoomScaleNormal="130" workbookViewId="0">
      <selection activeCell="O24" sqref="O24"/>
    </sheetView>
  </sheetViews>
  <sheetFormatPr defaultColWidth="9" defaultRowHeight="13.5"/>
  <sheetData>
    <row r="1" spans="1:13">
      <c r="K1" t="s">
        <v>0</v>
      </c>
      <c r="L1" t="s">
        <v>1</v>
      </c>
    </row>
    <row r="2" spans="1:13">
      <c r="A2" t="s">
        <v>2</v>
      </c>
      <c r="B2">
        <v>500</v>
      </c>
      <c r="C2">
        <v>517</v>
      </c>
      <c r="D2">
        <f>C2-B2+1</f>
        <v>18</v>
      </c>
      <c r="E2">
        <f>SUM(D2:D6)</f>
        <v>121</v>
      </c>
      <c r="J2" t="s">
        <v>2</v>
      </c>
      <c r="K2">
        <v>121</v>
      </c>
      <c r="L2">
        <v>1</v>
      </c>
      <c r="M2">
        <f>L2*K2</f>
        <v>121</v>
      </c>
    </row>
    <row r="3" spans="1:13">
      <c r="B3">
        <v>600</v>
      </c>
      <c r="C3">
        <v>621</v>
      </c>
      <c r="D3">
        <f>C3-B3+1</f>
        <v>22</v>
      </c>
      <c r="J3" t="s">
        <v>3</v>
      </c>
      <c r="K3">
        <v>39</v>
      </c>
      <c r="L3">
        <v>2</v>
      </c>
      <c r="M3">
        <f t="shared" ref="M3:M12" si="0">L3*K3</f>
        <v>78</v>
      </c>
    </row>
    <row r="4" spans="1:13">
      <c r="B4">
        <v>900</v>
      </c>
      <c r="C4">
        <v>941</v>
      </c>
      <c r="D4">
        <f>C4-B4+1</f>
        <v>42</v>
      </c>
      <c r="J4" t="s">
        <v>4</v>
      </c>
      <c r="K4">
        <v>89</v>
      </c>
      <c r="L4">
        <v>2</v>
      </c>
      <c r="M4">
        <f t="shared" si="0"/>
        <v>178</v>
      </c>
    </row>
    <row r="5" spans="1:13">
      <c r="B5">
        <v>1200</v>
      </c>
      <c r="C5">
        <v>1229</v>
      </c>
      <c r="D5">
        <f>C5-B5+1</f>
        <v>30</v>
      </c>
      <c r="J5" t="s">
        <v>5</v>
      </c>
      <c r="K5">
        <v>74</v>
      </c>
      <c r="L5">
        <v>2</v>
      </c>
      <c r="M5">
        <f t="shared" si="0"/>
        <v>148</v>
      </c>
    </row>
    <row r="6" spans="1:13">
      <c r="B6">
        <v>1400</v>
      </c>
      <c r="C6">
        <v>1408</v>
      </c>
      <c r="D6">
        <f>C6-B6+1</f>
        <v>9</v>
      </c>
      <c r="J6" t="s">
        <v>6</v>
      </c>
      <c r="K6">
        <v>199</v>
      </c>
      <c r="L6">
        <v>1</v>
      </c>
      <c r="M6">
        <f t="shared" si="0"/>
        <v>199</v>
      </c>
    </row>
    <row r="7" spans="1:13">
      <c r="A7" t="s">
        <v>3</v>
      </c>
      <c r="B7">
        <v>1500</v>
      </c>
      <c r="C7">
        <v>1517</v>
      </c>
      <c r="D7">
        <f t="shared" ref="D7:D34" si="1">C7-B7+1</f>
        <v>18</v>
      </c>
      <c r="E7">
        <f>SUM(D7:D10)</f>
        <v>39</v>
      </c>
      <c r="J7" t="s">
        <v>7</v>
      </c>
      <c r="K7">
        <v>108</v>
      </c>
      <c r="L7">
        <v>1</v>
      </c>
      <c r="M7">
        <f t="shared" si="0"/>
        <v>108</v>
      </c>
    </row>
    <row r="8" spans="1:13">
      <c r="B8">
        <v>1600</v>
      </c>
      <c r="C8">
        <v>1611</v>
      </c>
      <c r="D8">
        <f t="shared" si="1"/>
        <v>12</v>
      </c>
      <c r="J8" t="s">
        <v>8</v>
      </c>
      <c r="K8">
        <v>43</v>
      </c>
      <c r="L8">
        <v>1</v>
      </c>
      <c r="M8">
        <f t="shared" si="0"/>
        <v>43</v>
      </c>
    </row>
    <row r="9" spans="1:13">
      <c r="B9">
        <v>2000</v>
      </c>
      <c r="C9">
        <v>2006</v>
      </c>
      <c r="D9">
        <f t="shared" si="1"/>
        <v>7</v>
      </c>
      <c r="J9" t="s">
        <v>9</v>
      </c>
      <c r="K9">
        <v>352</v>
      </c>
      <c r="L9">
        <v>2</v>
      </c>
      <c r="M9">
        <f t="shared" si="0"/>
        <v>704</v>
      </c>
    </row>
    <row r="10" spans="1:13">
      <c r="B10">
        <v>2300</v>
      </c>
      <c r="C10">
        <v>2301</v>
      </c>
      <c r="D10">
        <f t="shared" si="1"/>
        <v>2</v>
      </c>
      <c r="J10" t="s">
        <v>10</v>
      </c>
      <c r="K10">
        <v>488</v>
      </c>
      <c r="L10">
        <v>1</v>
      </c>
      <c r="M10">
        <f t="shared" si="0"/>
        <v>488</v>
      </c>
    </row>
    <row r="11" ht="12" customHeight="1" spans="1:13">
      <c r="A11" t="s">
        <v>4</v>
      </c>
      <c r="B11">
        <v>3500</v>
      </c>
      <c r="C11">
        <v>3517</v>
      </c>
      <c r="D11">
        <f t="shared" si="1"/>
        <v>18</v>
      </c>
      <c r="E11">
        <f>SUM(D11:D14)</f>
        <v>89</v>
      </c>
      <c r="J11" t="s">
        <v>11</v>
      </c>
      <c r="K11">
        <v>190</v>
      </c>
      <c r="L11">
        <v>20</v>
      </c>
      <c r="M11">
        <f t="shared" si="0"/>
        <v>3800</v>
      </c>
    </row>
    <row r="12" spans="1:13">
      <c r="B12">
        <v>3600</v>
      </c>
      <c r="C12">
        <v>3665</v>
      </c>
      <c r="D12">
        <f t="shared" si="1"/>
        <v>66</v>
      </c>
      <c r="J12" t="s">
        <v>12</v>
      </c>
      <c r="K12">
        <v>96</v>
      </c>
      <c r="L12">
        <v>1</v>
      </c>
      <c r="M12">
        <f t="shared" si="0"/>
        <v>96</v>
      </c>
    </row>
    <row r="13" spans="1:13">
      <c r="B13">
        <v>4000</v>
      </c>
      <c r="C13">
        <v>4000</v>
      </c>
      <c r="D13">
        <f t="shared" si="1"/>
        <v>1</v>
      </c>
    </row>
    <row r="14" spans="1:13">
      <c r="B14">
        <v>4300</v>
      </c>
      <c r="C14">
        <v>4303</v>
      </c>
      <c r="D14">
        <f t="shared" si="1"/>
        <v>4</v>
      </c>
    </row>
    <row r="15" spans="1:13">
      <c r="A15" t="s">
        <v>5</v>
      </c>
      <c r="B15">
        <v>5500</v>
      </c>
      <c r="C15">
        <v>5517</v>
      </c>
      <c r="D15">
        <f t="shared" si="1"/>
        <v>18</v>
      </c>
      <c r="E15">
        <f>SUM(D15:D18)</f>
        <v>74</v>
      </c>
    </row>
    <row r="16" spans="1:13">
      <c r="B16">
        <v>5600</v>
      </c>
      <c r="C16">
        <v>5613</v>
      </c>
      <c r="D16">
        <f t="shared" si="1"/>
        <v>14</v>
      </c>
    </row>
    <row r="17" spans="1:5">
      <c r="B17">
        <v>6000</v>
      </c>
      <c r="C17">
        <v>6025</v>
      </c>
      <c r="D17">
        <f t="shared" si="1"/>
        <v>26</v>
      </c>
    </row>
    <row r="18" spans="1:5">
      <c r="B18">
        <v>6300</v>
      </c>
      <c r="C18">
        <v>6315</v>
      </c>
      <c r="D18">
        <f t="shared" si="1"/>
        <v>16</v>
      </c>
    </row>
    <row r="19" spans="1:5">
      <c r="A19" t="s">
        <v>6</v>
      </c>
      <c r="B19">
        <v>7500</v>
      </c>
      <c r="C19">
        <v>7517</v>
      </c>
      <c r="D19">
        <f t="shared" si="1"/>
        <v>18</v>
      </c>
      <c r="E19">
        <f>SUM(D19:D21)</f>
        <v>199</v>
      </c>
    </row>
    <row r="20" spans="1:5">
      <c r="B20">
        <v>7600</v>
      </c>
      <c r="C20">
        <v>7722</v>
      </c>
      <c r="D20">
        <f t="shared" si="1"/>
        <v>123</v>
      </c>
    </row>
    <row r="21" spans="1:5">
      <c r="B21">
        <v>8000</v>
      </c>
      <c r="C21">
        <v>8057</v>
      </c>
      <c r="D21">
        <f t="shared" si="1"/>
        <v>58</v>
      </c>
    </row>
    <row r="22" spans="1:5">
      <c r="A22" t="s">
        <v>7</v>
      </c>
      <c r="B22">
        <v>8500</v>
      </c>
      <c r="C22">
        <v>8516</v>
      </c>
      <c r="D22">
        <f t="shared" si="1"/>
        <v>17</v>
      </c>
      <c r="E22">
        <f>SUM(D22:D25)</f>
        <v>108</v>
      </c>
    </row>
    <row r="23" spans="1:5">
      <c r="B23">
        <v>8600</v>
      </c>
      <c r="C23">
        <v>8630</v>
      </c>
      <c r="D23">
        <f t="shared" si="1"/>
        <v>31</v>
      </c>
    </row>
    <row r="24" spans="1:5">
      <c r="B24">
        <v>9000</v>
      </c>
      <c r="C24">
        <v>9044</v>
      </c>
      <c r="D24">
        <f t="shared" si="1"/>
        <v>45</v>
      </c>
    </row>
    <row r="25" spans="1:5">
      <c r="B25">
        <v>9300</v>
      </c>
      <c r="C25">
        <v>9314</v>
      </c>
      <c r="D25">
        <f t="shared" si="1"/>
        <v>15</v>
      </c>
    </row>
    <row r="26" spans="1:5">
      <c r="A26" t="s">
        <v>8</v>
      </c>
      <c r="B26">
        <v>9500</v>
      </c>
      <c r="C26">
        <v>9517</v>
      </c>
      <c r="D26">
        <f t="shared" si="1"/>
        <v>18</v>
      </c>
      <c r="E26">
        <f>SUM(D26:D29)</f>
        <v>43</v>
      </c>
    </row>
    <row r="27" spans="1:5">
      <c r="B27">
        <v>9600</v>
      </c>
      <c r="C27">
        <v>9607</v>
      </c>
      <c r="D27">
        <f t="shared" si="1"/>
        <v>8</v>
      </c>
    </row>
    <row r="28" spans="1:5">
      <c r="B28">
        <v>10000</v>
      </c>
      <c r="C28">
        <v>10003</v>
      </c>
      <c r="D28">
        <f t="shared" si="1"/>
        <v>4</v>
      </c>
    </row>
    <row r="29" spans="1:5">
      <c r="B29">
        <v>10300</v>
      </c>
      <c r="C29">
        <v>10312</v>
      </c>
      <c r="D29">
        <f t="shared" si="1"/>
        <v>13</v>
      </c>
    </row>
    <row r="30" spans="1:5">
      <c r="A30" t="s">
        <v>9</v>
      </c>
      <c r="B30">
        <v>14500</v>
      </c>
      <c r="C30">
        <v>14517</v>
      </c>
      <c r="D30">
        <f t="shared" si="1"/>
        <v>18</v>
      </c>
      <c r="E30">
        <f>SUM(D30:D34)</f>
        <v>352</v>
      </c>
    </row>
    <row r="31" spans="1:5">
      <c r="B31">
        <v>14600</v>
      </c>
      <c r="C31">
        <v>14666</v>
      </c>
      <c r="D31">
        <f t="shared" si="1"/>
        <v>67</v>
      </c>
    </row>
    <row r="32" spans="1:5">
      <c r="B32">
        <v>15000</v>
      </c>
      <c r="C32">
        <v>15155</v>
      </c>
      <c r="D32">
        <f t="shared" si="1"/>
        <v>156</v>
      </c>
    </row>
    <row r="33" spans="1:5">
      <c r="B33">
        <v>16000</v>
      </c>
      <c r="C33">
        <v>16097</v>
      </c>
      <c r="D33">
        <f t="shared" si="1"/>
        <v>98</v>
      </c>
    </row>
    <row r="34" spans="1:5">
      <c r="B34">
        <v>16300</v>
      </c>
      <c r="C34">
        <v>16312</v>
      </c>
      <c r="D34">
        <f t="shared" si="1"/>
        <v>13</v>
      </c>
    </row>
    <row r="35" spans="1:5">
      <c r="A35" t="s">
        <v>10</v>
      </c>
      <c r="B35">
        <v>10500</v>
      </c>
      <c r="C35">
        <v>10525</v>
      </c>
      <c r="D35">
        <f>C35-B35+1</f>
        <v>26</v>
      </c>
      <c r="E35">
        <f>SUM(D35:D39)</f>
        <v>488</v>
      </c>
    </row>
    <row r="36" spans="1:5">
      <c r="B36">
        <v>10600</v>
      </c>
      <c r="C36">
        <v>10656</v>
      </c>
      <c r="D36">
        <f>C36-B36+1</f>
        <v>57</v>
      </c>
    </row>
    <row r="37" spans="1:5">
      <c r="B37">
        <v>12000</v>
      </c>
      <c r="C37">
        <v>12026</v>
      </c>
      <c r="D37">
        <f>C37-B37+1</f>
        <v>27</v>
      </c>
    </row>
    <row r="38" spans="1:5">
      <c r="B38">
        <v>13000</v>
      </c>
      <c r="C38">
        <v>13348</v>
      </c>
      <c r="D38">
        <f>C38-B38+1</f>
        <v>349</v>
      </c>
    </row>
    <row r="39" spans="1:5">
      <c r="B39">
        <v>14000</v>
      </c>
      <c r="C39">
        <v>14028</v>
      </c>
      <c r="D39">
        <f>C39-B39+1</f>
        <v>29</v>
      </c>
    </row>
    <row r="40" spans="1:5">
      <c r="A40" t="s">
        <v>11</v>
      </c>
      <c r="B40">
        <v>18500</v>
      </c>
      <c r="C40">
        <v>18525</v>
      </c>
      <c r="D40">
        <f>C40-B40+1</f>
        <v>26</v>
      </c>
      <c r="E40">
        <f>SUM(D40:D43)</f>
        <v>190</v>
      </c>
    </row>
    <row r="41" spans="1:5">
      <c r="B41">
        <v>18600</v>
      </c>
      <c r="C41">
        <v>18758</v>
      </c>
      <c r="D41">
        <f>C41-B41+1</f>
        <v>159</v>
      </c>
    </row>
    <row r="42" spans="1:5">
      <c r="B42">
        <v>19000</v>
      </c>
      <c r="C42">
        <v>19002</v>
      </c>
      <c r="D42">
        <f>C42-B42+1</f>
        <v>3</v>
      </c>
    </row>
    <row r="43" spans="1:5">
      <c r="B43">
        <v>19300</v>
      </c>
      <c r="C43">
        <v>19301</v>
      </c>
      <c r="D43">
        <f>C43-B43+1</f>
        <v>2</v>
      </c>
    </row>
    <row r="44" spans="1:5">
      <c r="A44" t="s">
        <v>12</v>
      </c>
      <c r="B44">
        <v>0</v>
      </c>
      <c r="C44">
        <v>25</v>
      </c>
      <c r="D44">
        <f>C44-B44+1</f>
        <v>26</v>
      </c>
      <c r="E44">
        <f>SUM(D44:D47)</f>
        <v>96</v>
      </c>
    </row>
    <row r="45" spans="1:5">
      <c r="B45">
        <v>100</v>
      </c>
      <c r="C45">
        <v>111</v>
      </c>
      <c r="D45">
        <f>C45-B45+1</f>
        <v>12</v>
      </c>
    </row>
    <row r="46" spans="1:5">
      <c r="B46">
        <v>200</v>
      </c>
      <c r="C46">
        <v>248</v>
      </c>
      <c r="D46">
        <f>C46-B46+1</f>
        <v>49</v>
      </c>
    </row>
    <row r="47" spans="1:5">
      <c r="B47">
        <v>400</v>
      </c>
      <c r="C47">
        <v>408</v>
      </c>
      <c r="D47">
        <f>C47-B47+1</f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2025-12-08T03:29:38Z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0E9F342E44724E69869A187D0C054B0E_12</vt:lpwstr>
  </property>
</Properties>
</file>